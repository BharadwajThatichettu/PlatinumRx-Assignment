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Data_Analyst_Assignment\Spreadsheets\"/>
    </mc:Choice>
  </mc:AlternateContent>
  <xr:revisionPtr revIDLastSave="0" documentId="8_{0167DB9E-3D88-4DA2-8121-69E6401DE2F1}" xr6:coauthVersionLast="47" xr6:coauthVersionMax="47" xr10:uidLastSave="{00000000-0000-0000-0000-000000000000}"/>
  <bookViews>
    <workbookView xWindow="-110" yWindow="-110" windowWidth="19420" windowHeight="10300" xr2:uid="{04035833-9C0A-4F48-8224-B764CC83919E}"/>
  </bookViews>
  <sheets>
    <sheet name="Ticket_Analysis" sheetId="6" r:id="rId1"/>
    <sheet name="Ticket" sheetId="1" r:id="rId2"/>
    <sheet name="feedback" sheetId="2" r:id="rId3"/>
  </sheets>
  <calcPr calcId="191029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H2" i="1"/>
  <c r="H3" i="1"/>
  <c r="H4" i="1"/>
  <c r="H5" i="1"/>
  <c r="H6" i="1"/>
  <c r="D2" i="2"/>
</calcChain>
</file>

<file path=xl/sharedStrings.xml><?xml version="1.0" encoding="utf-8"?>
<sst xmlns="http://schemas.openxmlformats.org/spreadsheetml/2006/main" count="24" uniqueCount="20">
  <si>
    <t>ticket_id</t>
  </si>
  <si>
    <t>created_at</t>
  </si>
  <si>
    <t>closed_at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</si>
  <si>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</si>
  <si>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</si>
  <si>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</si>
  <si>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</si>
  <si>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</si>
  <si>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</si>
  <si>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</si>
  <si>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feedback_at</t>
  </si>
  <si>
    <t>feedback_rating</t>
  </si>
  <si>
    <t>ticket_created_at</t>
  </si>
  <si>
    <t>Same Day</t>
  </si>
  <si>
    <t>Row Labels</t>
  </si>
  <si>
    <t>Grand Total</t>
  </si>
  <si>
    <t>Count of Same Day</t>
  </si>
  <si>
    <t>(blank)</t>
  </si>
  <si>
    <t>Same hour</t>
  </si>
  <si>
    <t>Count of Same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</si>
</sst>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22" fontId="1" fillId="0" borderId="1" xfId="0" applyNumberFormat="1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vertical="center" wrapText="1" readingOrder="1"/>
    </xf>
    <xf numFmtId="0" fontId="1" fillId="0" borderId="7" xfId="0" applyFont="1" applyBorder="1" applyAlignment="1">
      <alignment horizontal="left" vertical="center" wrapText="1" indent="1" readingOrder="1"/>
    </xf>
    <xf numFmtId="22" fontId="1" fillId="0" borderId="8" xfId="0" applyNumberFormat="1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vertical="center" wrapText="1" readingOrder="1"/>
    </xf>
    <xf numFmtId="0" fontId="1" fillId="0" borderId="9" xfId="0" applyFont="1" applyBorder="1" applyAlignment="1">
      <alignment vertical="center" wrapText="1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7" formatCode="dd/mm/yyyy\ hh:mm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7" formatCode="dd/mm/yyyy\ hh:mm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7" formatCode="dd/mm/yyyy\ hh:mm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21.640314699071" createdVersion="8" refreshedVersion="8" minRefreshableVersion="3" recordCount="5" xr:uid="{07CB9644-AF24-4EED-8C06-3DAEA4D80FE7}">
  <cacheSource type="worksheet">
    <worksheetSource name="Table3"/>
  </cacheSource>
  <cacheFields count="7">
    <cacheField name="ticket_id" numFmtId="0">
      <sharedItems containsBlank="1"/>
    </cacheField>
    <cacheField name="created_at" numFmtId="22">
      <sharedItems containsNonDate="0" containsDate="1" containsString="0" containsBlank="1" minDate="2021-08-19T16:45:43" maxDate="2021-08-21T11:09:22"/>
    </cacheField>
    <cacheField name="closed_at" numFmtId="22">
      <sharedItems containsNonDate="0" containsDate="1" containsString="0" containsBlank="1" minDate="2021-08-21T17:13:45" maxDate="2021-08-22T12:33:32"/>
    </cacheField>
    <cacheField name="outlet_id" numFmtId="0">
      <sharedItems containsBlank="1" count="3">
        <s v="wrqy-juv-978"/>
        <s v="8woh-k3u-23b"/>
        <m/>
      </sharedItems>
    </cacheField>
    <cacheField name="cms_id" numFmtId="0">
      <sharedItems containsBlank="1"/>
    </cacheField>
    <cacheField name="Same Day" numFmtId="0">
      <sharedItems/>
    </cacheField>
    <cacheField name="Same hou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isu-sjd-457"/>
    <d v="2021-08-19T16:45:43"/>
    <d v="2021-08-22T12:33:32"/>
    <x v="0"/>
    <s v="vew-iuvd-12"/>
    <b v="0"/>
    <b v="0"/>
  </r>
  <r>
    <s v="qer-fal-092"/>
    <d v="2021-08-21T11:09:22"/>
    <d v="2021-08-21T17:13:45"/>
    <x v="1"/>
    <m/>
    <b v="1"/>
    <b v="0"/>
  </r>
  <r>
    <m/>
    <m/>
    <m/>
    <x v="2"/>
    <m/>
    <b v="1"/>
    <b v="1"/>
  </r>
  <r>
    <m/>
    <m/>
    <m/>
    <x v="2"/>
    <m/>
    <b v="1"/>
    <b v="1"/>
  </r>
  <r>
    <m/>
    <m/>
    <m/>
    <x v="2"/>
    <m/>
    <b v="1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07215-F54D-480F-BF12-4468D2F2C27F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7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me Day" fld="5" subtotal="count" baseField="0" baseItem="0"/>
    <dataField name="Count of Same hour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6686A3-426C-4139-AD04-BEA544308BFE}" name="Table3" displayName="Table3" ref="C1:I6" totalsRowShown="0" headerRowDxfId="2" headerRowBorderDxfId="9" tableBorderDxfId="10" totalsRowBorderDxfId="8">
  <autoFilter ref="C1:I6" xr:uid="{226686A3-426C-4139-AD04-BEA544308BFE}"/>
  <tableColumns count="7">
    <tableColumn id="1" xr3:uid="{53535275-CEB0-446F-A6D6-1C0D450466F9}" name="ticket_id" dataDxfId="7"/>
    <tableColumn id="2" xr3:uid="{18E1E7FC-974B-4F15-8D0D-612CDAC0A603}" name="created_at" dataDxfId="6"/>
    <tableColumn id="3" xr3:uid="{7440E60C-CDDD-4A63-B013-9B1C85C26670}" name="closed_at" dataDxfId="5"/>
    <tableColumn id="4" xr3:uid="{11D0AFC6-D34B-4123-85A1-BD6F4A8D13AF}" name="outlet_id" dataDxfId="4"/>
    <tableColumn id="5" xr3:uid="{59CF7A29-8F5E-45F7-B690-56618CBBBCAF}" name="cms_id" dataDxfId="3"/>
    <tableColumn id="6" xr3:uid="{2DB253A4-52B5-4385-A024-C8E80EE63E23}" name="Same Day" dataDxfId="1">
      <calculatedColumnFormula>INT(D2)=INT(E2)</calculatedColumnFormula>
    </tableColumn>
    <tableColumn id="7" xr3:uid="{7B7DBF2F-E932-410B-BED8-C162E8BF3050}" name="Same hour" dataDxfId="0">
      <calculatedColumnFormula>AND(INT(D2)=INT(E2), HOUR(D2)=HOUR(E2))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CB4D21-5D19-4C46-AD9D-E3073D5CD2A3}" name="Table1" displayName="Table1" ref="A1:D2" totalsRowShown="0" headerRowDxfId="11" headerRowBorderDxfId="16" tableBorderDxfId="17" totalsRowBorderDxfId="15">
  <autoFilter ref="A1:D2" xr:uid="{FBCB4D21-5D19-4C46-AD9D-E3073D5CD2A3}"/>
  <tableColumns count="4">
    <tableColumn id="1" xr3:uid="{699B92A9-F316-4CC5-91C7-1CC34F01B337}" name="cms_id" dataDxfId="14"/>
    <tableColumn id="2" xr3:uid="{E815915F-2D22-4FFA-9AC5-EB45DDF312CA}" name="feedback_at" dataDxfId="13"/>
    <tableColumn id="3" xr3:uid="{EED7DF72-02C2-4C3E-8150-59B04043B7E1}" name="feedback_rating" dataDxfId="12"/>
    <tableColumn id="4" xr3:uid="{9C984B6A-7813-45D9-B0B0-F15F0F1082D9}" name="ticket_created_at">
      <calculatedColumnFormula>INDEX(Ticket!B:B, MATCH(A2, Ticket!G:G,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A20D7-E38A-438C-BA5F-DECE407DB202}">
  <dimension ref="A3:C7"/>
  <sheetViews>
    <sheetView tabSelected="1"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16.6328125" bestFit="1" customWidth="1"/>
    <col min="3" max="3" width="17.36328125" bestFit="1" customWidth="1"/>
  </cols>
  <sheetData>
    <row r="3" spans="1:3" x14ac:dyDescent="0.35">
      <c r="A3" s="12" t="s">
        <v>14</v>
      </c>
      <c r="B3" t="s">
        <v>16</v>
      </c>
      <c r="C3" t="s">
        <v>19</v>
      </c>
    </row>
    <row r="4" spans="1:3" x14ac:dyDescent="0.35">
      <c r="A4" s="13" t="s">
        <v>9</v>
      </c>
      <c r="B4" s="14">
        <v>1</v>
      </c>
      <c r="C4" s="14">
        <v>1</v>
      </c>
    </row>
    <row r="5" spans="1:3" x14ac:dyDescent="0.35">
      <c r="A5" s="13" t="s">
        <v>6</v>
      </c>
      <c r="B5" s="14">
        <v>1</v>
      </c>
      <c r="C5" s="14">
        <v>1</v>
      </c>
    </row>
    <row r="6" spans="1:3" x14ac:dyDescent="0.35">
      <c r="A6" s="13" t="s">
        <v>17</v>
      </c>
      <c r="B6" s="14">
        <v>3</v>
      </c>
      <c r="C6" s="14">
        <v>3</v>
      </c>
    </row>
    <row r="7" spans="1:3" x14ac:dyDescent="0.35">
      <c r="A7" s="13" t="s">
        <v>15</v>
      </c>
      <c r="B7" s="14">
        <v>5</v>
      </c>
      <c r="C7" s="1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194C8-81DE-4486-8A58-E39A6330ADC2}">
  <dimension ref="C1:I6"/>
  <sheetViews>
    <sheetView workbookViewId="0">
      <selection activeCell="I1" activeCellId="2" sqref="F1:F1048576 H1:H1048576 I1:I1048576"/>
    </sheetView>
  </sheetViews>
  <sheetFormatPr defaultRowHeight="14.5" x14ac:dyDescent="0.35"/>
  <cols>
    <col min="3" max="3" width="11.6328125" customWidth="1"/>
    <col min="4" max="4" width="23.90625" customWidth="1"/>
    <col min="5" max="5" width="25.81640625" customWidth="1"/>
    <col min="6" max="6" width="17.90625" customWidth="1"/>
    <col min="7" max="7" width="17" customWidth="1"/>
  </cols>
  <sheetData>
    <row r="1" spans="3:9" ht="28.5" thickBot="1" x14ac:dyDescent="0.4">
      <c r="C1" s="4" t="s">
        <v>0</v>
      </c>
      <c r="D1" s="5" t="s">
        <v>1</v>
      </c>
      <c r="E1" s="5" t="s">
        <v>2</v>
      </c>
      <c r="F1" s="5" t="s">
        <v>3</v>
      </c>
      <c r="G1" s="6" t="s">
        <v>4</v>
      </c>
      <c r="H1" s="5" t="s">
        <v>13</v>
      </c>
      <c r="I1" s="5" t="s">
        <v>18</v>
      </c>
    </row>
    <row r="2" spans="3:9" ht="15" thickBot="1" x14ac:dyDescent="0.4">
      <c r="C2" s="3" t="s">
        <v>5</v>
      </c>
      <c r="D2" s="2">
        <v>44427.698414351849</v>
      </c>
      <c r="E2" s="2">
        <v>44430.523287037038</v>
      </c>
      <c r="F2" s="1" t="s">
        <v>6</v>
      </c>
      <c r="G2" s="10" t="s">
        <v>7</v>
      </c>
      <c r="H2" t="b">
        <f t="shared" ref="H2:H6" si="0">INT(D2)=INT(E2)</f>
        <v>0</v>
      </c>
      <c r="I2" t="b">
        <f t="shared" ref="I2:I6" si="1">AND(INT(D2)=INT(E2), HOUR(D2)=HOUR(E2))</f>
        <v>0</v>
      </c>
    </row>
    <row r="3" spans="3:9" ht="15" thickBot="1" x14ac:dyDescent="0.4">
      <c r="C3" s="7" t="s">
        <v>8</v>
      </c>
      <c r="D3" s="8">
        <v>44429.464837962965</v>
      </c>
      <c r="E3" s="8">
        <v>44429.717881944445</v>
      </c>
      <c r="F3" s="9" t="s">
        <v>9</v>
      </c>
      <c r="H3" t="b">
        <f t="shared" si="0"/>
        <v>1</v>
      </c>
      <c r="I3" t="b">
        <f t="shared" si="1"/>
        <v>0</v>
      </c>
    </row>
    <row r="4" spans="3:9" ht="15" thickBot="1" x14ac:dyDescent="0.4">
      <c r="C4" s="3"/>
      <c r="D4" s="2"/>
      <c r="E4" s="2"/>
      <c r="F4" s="1"/>
      <c r="G4" s="10"/>
      <c r="H4" t="b">
        <f t="shared" si="0"/>
        <v>1</v>
      </c>
      <c r="I4" t="b">
        <f t="shared" si="1"/>
        <v>1</v>
      </c>
    </row>
    <row r="5" spans="3:9" ht="15" thickBot="1" x14ac:dyDescent="0.4">
      <c r="C5" s="3"/>
      <c r="D5" s="2"/>
      <c r="E5" s="2"/>
      <c r="F5" s="1"/>
      <c r="G5" s="10"/>
      <c r="H5" t="b">
        <f t="shared" si="0"/>
        <v>1</v>
      </c>
      <c r="I5" t="b">
        <f t="shared" si="1"/>
        <v>1</v>
      </c>
    </row>
    <row r="6" spans="3:9" x14ac:dyDescent="0.35">
      <c r="C6" s="7"/>
      <c r="D6" s="8"/>
      <c r="E6" s="8"/>
      <c r="F6" s="9"/>
      <c r="G6" s="11"/>
      <c r="H6" t="b">
        <f t="shared" si="0"/>
        <v>1</v>
      </c>
      <c r="I6" t="b">
        <f t="shared" si="1"/>
        <v>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33E3-85FF-4BC7-B65A-8CD6791C8631}">
  <dimension ref="A1:D2"/>
  <sheetViews>
    <sheetView workbookViewId="0">
      <selection activeCell="D3" sqref="D3"/>
    </sheetView>
  </sheetViews>
  <sheetFormatPr defaultRowHeight="14.5" x14ac:dyDescent="0.35"/>
  <cols>
    <col min="1" max="1" width="10.54296875" customWidth="1"/>
    <col min="2" max="2" width="39.54296875" customWidth="1"/>
    <col min="3" max="3" width="21.54296875" customWidth="1"/>
    <col min="4" max="4" width="30.08984375" customWidth="1"/>
  </cols>
  <sheetData>
    <row r="1" spans="1:4" ht="15" thickBot="1" x14ac:dyDescent="0.4">
      <c r="A1" s="4" t="s">
        <v>4</v>
      </c>
      <c r="B1" s="5" t="s">
        <v>10</v>
      </c>
      <c r="C1" s="5" t="s">
        <v>11</v>
      </c>
      <c r="D1" s="6" t="s">
        <v>12</v>
      </c>
    </row>
    <row r="2" spans="1:4" ht="28" x14ac:dyDescent="0.35">
      <c r="A2" s="7" t="s">
        <v>7</v>
      </c>
      <c r="B2" s="8">
        <v>44429.560277777775</v>
      </c>
      <c r="C2" s="9">
        <v>3</v>
      </c>
      <c r="D2">
        <f>INDEX(Ticket!B:B, MATCH(A2, Ticket!G:G, 0))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Ticket_Analysis</vt:lpstr>
      <vt:lpstr>Ticket</vt:lpstr>
      <vt:lpstr>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Bharadwaj Thatichettu</dc:creator>
  <cp:lastModifiedBy>Bharadwaj Thatichettu</cp:lastModifiedBy>
  <dcterms:created xsi:type="dcterms:W3CDTF">2026-04-09T08:31:32Z</dcterms:created>
  <dcterms:modified xsi:type="dcterms:W3CDTF">2026-04-09T09:53:38Z</dcterms:modified>
</cp:coreProperties>
</file>